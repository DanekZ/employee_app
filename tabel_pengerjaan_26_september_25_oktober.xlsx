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inarta\employee_app\"/>
    </mc:Choice>
  </mc:AlternateContent>
  <xr:revisionPtr revIDLastSave="0" documentId="13_ncr:1_{8F2BA576-82E7-4CE7-849D-DA65871B40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el pengerjaan" sheetId="1" r:id="rId1"/>
  </sheets>
  <calcPr calcId="191029"/>
</workbook>
</file>

<file path=xl/calcChain.xml><?xml version="1.0" encoding="utf-8"?>
<calcChain xmlns="http://schemas.openxmlformats.org/spreadsheetml/2006/main">
  <c r="D49" i="1" l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<sst xmlns="http://schemas.openxmlformats.org/spreadsheetml/2006/main" count="200" uniqueCount="125">
  <si>
    <t>Tanggal</t>
  </si>
  <si>
    <t>Waktu Mulai</t>
  </si>
  <si>
    <t>Waktu Selesai</t>
  </si>
  <si>
    <t>Durasi (Jam)</t>
  </si>
  <si>
    <t>Pekerjaan</t>
  </si>
  <si>
    <t>Detail Pekerjaan</t>
  </si>
  <si>
    <t>Hasil</t>
  </si>
  <si>
    <t>Screenshot</t>
  </si>
  <si>
    <t>28/9/2026</t>
  </si>
  <si>
    <t>pengembangan website karyawan</t>
  </si>
  <si>
    <t>analisis arsitektur integrasi data presensi (absensi, lembur, dinas) ke formula perhitungan payroll</t>
  </si>
  <si>
    <t>alur integrasi data absensi ke formula penggajian berhasil dipetakan secara komprehensif</t>
  </si>
  <si>
    <t>pemodelan skema relasi database antara attendances, overtime_requests, dan office_trips dengan payslips</t>
  </si>
  <si>
    <t>rancangan skema relasi dan model entity penggajian selesai disusun</t>
  </si>
  <si>
    <t>penyusunan struktur service layer PayslipService untuk pemisahan business logic penggajian dari controller</t>
  </si>
  <si>
    <t>kerangka PayslipService.php berhasil dibuat dan siap diintegrasikan</t>
  </si>
  <si>
    <t>29/9/2026</t>
  </si>
  <si>
    <t>pembuatan migration dan model SalarySetting untuk menyimpan tarif rate lembur, rate dinas, dan potongan alpha/izin</t>
  </si>
  <si>
    <t>tabel salary_settings dan model Eloquent berhasil dibuat dengan method default firstOrCreate()</t>
  </si>
  <si>
    <t>pengembangan kalkulasi lembur pada PayslipService berdasarkan jam_mulai dan jam_selesai pada lembur berstatus approved</t>
  </si>
  <si>
    <t>kalkulasi nominal lembur otomatis berjalan presisi sesuai total jam lembur yang disetujui</t>
  </si>
  <si>
    <t>30/9/2026</t>
  </si>
  <si>
    <t>implementasi kalkulasi potongan ketidakhadiran (alpha dan izin) pada PayslipService</t>
  </si>
  <si>
    <t>formula pemotongan gaji akibat alpha dan izin berhasil dihubungkan dengan data absensi bulanan</t>
  </si>
  <si>
    <t>pengembangan kalkulasi insentif perjalanan dinas luar kota/kantor (status approved) pada PayslipService</t>
  </si>
  <si>
    <t>perhitungan tunjangan dinas berdasarkan rate dinas dan durasi jam dinas berfungsi dengan baik</t>
  </si>
  <si>
    <t>pengujian unit logic formula gaji bersih: gaji_pokok + lembur + dinas - potongan_absen</t>
  </si>
  <si>
    <t>kalkulasi formula gaji bersih terverifikasi akurat pada berbagai skenario data kehadiran</t>
  </si>
  <si>
    <t>1/10/2026</t>
  </si>
  <si>
    <t>pembuatan controller PayrollController dengan method index(), filter periode bulan, dan retrieval data payslips</t>
  </si>
  <si>
    <t>endpoint dan controller payroll berhasil dihubungkan dengan route web.php</t>
  </si>
  <si>
    <t>perancangan antarmuka Blade view halaman utama payroll (resources/views/payroll/index.blade.php)</t>
  </si>
  <si>
    <t>layout dashboard penggajian atasan dengan tab manajemen slip dan tarif berhasil dibuat</t>
  </si>
  <si>
    <t>implementasi modal interaktif Alpine.js untuk fitur edit gaji pokok karyawan langsung dari tabel</t>
  </si>
  <si>
    <t>modal input gaji pokok responsif dan dapat melakukan update data via PATCH request</t>
  </si>
  <si>
    <t>2/10/2026</t>
  </si>
  <si>
    <t>pembuatan fitur generate slip gaji massal per periode bulan untuk seluruh karyawan aktif di PayrollController</t>
  </si>
  <si>
    <t>proses kalkulasi massal slip gaji bulanan berhasil dijalankan dengan feedback pesan sukses</t>
  </si>
  <si>
    <t>pembuatan fitur penerbitan slip gaji (publish) untuk mengubah status payslip dari draft menjadi terbit</t>
  </si>
  <si>
    <t>slip gaji periode aktif berhasil diterbitkan dan status timestamp diterbitkan_at tercatat rapi</t>
  </si>
  <si>
    <t>5/10/2026</t>
  </si>
  <si>
    <t>perancangan halaman antarmuka Slip Gaji Saya untuk akun karyawan (resources/views/payroll/my-payslips.blade.php)</t>
  </si>
  <si>
    <t>halaman riwayat slip gaji karyawan berhasil menampilkan kartu slip per periode</t>
  </si>
  <si>
    <t>pembuatan modal pratinjau rincian slip gaji (komponen pendapatan, tunjangan, dan potongan)</t>
  </si>
  <si>
    <t>karyawan dapat melihat breakdown lengkap rincian penerimaan gaji mereka melalui modal</t>
  </si>
  <si>
    <t>optimasi responsive view halaman slip gaji untuk tampilan perangkat mobile dan desktop</t>
  </si>
  <si>
    <t>antarmuka slip gaji tampil proporsional di seluruh ukuran layar</t>
  </si>
  <si>
    <t>6/10/2026</t>
  </si>
  <si>
    <t>pembuatan layout print stylesheet (@media print) untuk pencetakan dokumen slip gaji resmi</t>
  </si>
  <si>
    <t>dokumen slip gaji tertata rapi, bersih dari elemen navigasi saat dicetak atau disimpan ke PDF</t>
  </si>
  <si>
    <t>pengujian otorisasi dan isolasi data payroll: memastikan karyawan tidak dapat melihat slip gaji karyawan lain</t>
  </si>
  <si>
    <t>data slip gaji terisolasi secara ketat berdasarkan user_id yang sedang terautentikasi</t>
  </si>
  <si>
    <t>7/10/2026</t>
  </si>
  <si>
    <t>penambahan kolom rate_dinas_per_jam pada tabel salary_settings melalui migration baru</t>
  </si>
  <si>
    <t>skema tabel salary_settings berhasil dimutakhirkan dengan field tarif dinas per jam</t>
  </si>
  <si>
    <t>pembaruan form setting tarif payroll di view admin agar mendukung input rate dinas per jam</t>
  </si>
  <si>
    <t>form pengaturan global rate berhasil diperbarui dan tersimpan ke database</t>
  </si>
  <si>
    <t>sinkronisasi perhitungan PayslipService dengan rate dinas per jam yang baru ditambahkan</t>
  </si>
  <si>
    <t>kalkulasi nominal uang dinas di slip gaji otomatis merefleksikan tarif per jam terbaru</t>
  </si>
  <si>
    <t>8/10/2026</t>
  </si>
  <si>
    <t>penulisan unit &amp; feature test Pest PHP untuk modul penggajian (tests/Feature/PayrollTest.php)</t>
  </si>
  <si>
    <t>test case untuk kalkulasi slip gaji, update setting rate, dan update gaji pokok berhasil dibuat</t>
  </si>
  <si>
    <t>eksekusi automated test modul payroll dan perbaikan edge case nilai null atau nol pada perhitungan gaji</t>
  </si>
  <si>
    <t>seluruh pengujian PayrollTest lolos (passed) dengan penanganan edge case yang aman</t>
  </si>
  <si>
    <t>9/10/2026</t>
  </si>
  <si>
    <t>audit performa kueri database pada halaman payroll dan pencegahan potensi bottleneck kueri berulang (N+1)</t>
  </si>
  <si>
    <t>kueri dioptimalkan menggunakan eager loading with(user) sehingga beban server sangat ringan</t>
  </si>
  <si>
    <t>formatting dan standardisasi kode PHP pada modul payroll menggunakan Laravel Pint</t>
  </si>
  <si>
    <t>seluruh controller, model, service, dan test payroll rapi sesuai standar resmi Laravel</t>
  </si>
  <si>
    <t>12/10/2026</t>
  </si>
  <si>
    <t>pemutakhiran database seeder (database/seeders/UserSeeder.php) untuk penambahan data karyawan baru</t>
  </si>
  <si>
    <t>akun karyawan Anoriza, Zidane, dan akun Administrator berhasil dikonfigurasi pada seeder</t>
  </si>
  <si>
    <t>penyesuaian relasi atasan_id dan struktur bawahan langsung pada data seeder karyawan</t>
  </si>
  <si>
    <t>hierarki persetujuan approval atasan ke bawahan terkonfigurasi dengan benar di seeder</t>
  </si>
  <si>
    <t>pengujian seeding ulang database (db:seed) dan verifikasi integritas data karyawan yang digenerate</t>
  </si>
  <si>
    <t>database seeding berhasil dieksekusi tanpa bentrok unique key dan data terverifikasi valid</t>
  </si>
  <si>
    <t>13/10/2026</t>
  </si>
  <si>
    <t>integrasi tautan menu Penggajian &amp; Slip Gaji pada navigasi utama aplikasi (resources/views/layouts/app.blade.php)</t>
  </si>
  <si>
    <t>menu payroll tampil secara kondisional berdasarkan role login (Atasan: Manajemen, Karyawan: Slip Gaji)</t>
  </si>
  <si>
    <t>pengujian integrasi navigasi dan proteksi route middleware role:atasan untuk halaman kelola gaji</t>
  </si>
  <si>
    <t>karyawan non-atasan dicegah mengakses halaman kelola gaji (403 Forbidden)</t>
  </si>
  <si>
    <t>14/10/2026</t>
  </si>
  <si>
    <t>penyesuaian query rekap absensi pada ApprovalController agar menyertakan karyawan ber-role admin</t>
  </si>
  <si>
    <t>filter daftar karyawan absensi kini menampilkan user ber-role karyawan dan admin</t>
  </si>
  <si>
    <t>penyesuaian query laporan visualisasi presensi agar statistik performa mencakup karyawan ber-role admin</t>
  </si>
  <si>
    <t>grafik dan rekap disiplin kehadiran atasan mencakup seluruh anggota tim secara lengkap</t>
  </si>
  <si>
    <t>penulisan feature test LaporanTest.php untuk memvalidasi kemunculan data absensi role admin di laporan</t>
  </si>
  <si>
    <t>pengujian laporan untuk role admin berhasil lolos dengan 2 assertions passed</t>
  </si>
  <si>
    <t>15/10/2026</t>
  </si>
  <si>
    <t>evaluasi alur kerja pengajuan izin, lembur, dan dinas luar pada halaman approval atasan</t>
  </si>
  <si>
    <t>rekap daftar pengajuan pending terverifikasi tampil sesuai urutan tanggal terbaru</t>
  </si>
  <si>
    <t>analisis penanganan route action PATCH untuk persetujuan dan penolakan berkas pengajuan</t>
  </si>
  <si>
    <t>skema penanganan request approval pada routes/web.php dianalisis untuk penguatan controller</t>
  </si>
  <si>
    <t>16/10/2026</t>
  </si>
  <si>
    <t>identifikasi kendala pada alur persetujuan pengajuan lembur dan dinas luar oleh atasan</t>
  </si>
  <si>
    <t>titik temu kebutuhan method controller approve() dan reject() berhasil diidentifikasi</t>
  </si>
  <si>
    <t>penyusunan rencana perbaikan method approve &amp; reject untuk lembur dan dinas luar</t>
  </si>
  <si>
    <t>draft implementasi logic approval controller disiapkan untuk penulisan kode</t>
  </si>
  <si>
    <t>19/10/2026</t>
  </si>
  <si>
    <t>perbaikan error Call to undefined method OvertimeRequestController::approve() dengan menambahkan method approve() dan reject()</t>
  </si>
  <si>
    <t>atasan berhasil menyetujui dan menolak pengajuan lembur tanpa error</t>
  </si>
  <si>
    <t>penambahan method approve() dan reject() pada OfficeTripController untuk menangani persetujuan perjalanan dinas luar</t>
  </si>
  <si>
    <t>atasan dapat melakukan approval dan rejection untuk pengajuan perjalanan dinas karyawan</t>
  </si>
  <si>
    <t>penulisan automated test Pest di OvertimeRequestTest dan OfficeTripTest serta formatting dengan Laravel Pint</t>
  </si>
  <si>
    <t>seluruh test approval lembur dan dinas lolos (15 passed, 39 assertions)</t>
  </si>
  <si>
    <t>20/10/2026</t>
  </si>
  <si>
    <t>pengujian alur end-to-end seluruh modul pengajuan (Izin, Lembur, Dinas) dari sisi karyawan hingga approval atasan</t>
  </si>
  <si>
    <t>perubahan status pending ke approved/rejected dan feedback notifikasi berjalan lancar</t>
  </si>
  <si>
    <t>verifikasi integrasi data lembur dan dinas yang telah diapprove ke kalkulasi slip gaji pada modul penggajian</t>
  </si>
  <si>
    <t>data jam lembur dan dinas yang disetujui otomatis masuk ke slip gaji periode aktif</t>
  </si>
  <si>
    <t>21/10/2026</t>
  </si>
  <si>
    <t>persiapan konfigurasi deployment dan uji konektivitas remote server via protokol SSH</t>
  </si>
  <si>
    <t>koneksi remote server berhasil terhubung dengan stabil untuk keperluan sinkronisasi proyek</t>
  </si>
  <si>
    <t>pengujian eksekusi migrasi database, clearing cache (route, config, view), dan build asset frontend di server</t>
  </si>
  <si>
    <t>lingkungan aplikasi di server berhasil diperbarui dan berjalan tanpa kendala</t>
  </si>
  <si>
    <t>22/10/2026</t>
  </si>
  <si>
    <t>pengujian regresi menyeluruh (Regression Testing) pada seluruh modul aplikasi karyawan</t>
  </si>
  <si>
    <t>seluruh modul utama (Absensi, Izin, Lembur, Dinas, Approval, Payroll) berfungsi dengan baik</t>
  </si>
  <si>
    <t>code audit dan penataan kembali dependensi frontend serta optimasi file-file stylesheet</t>
  </si>
  <si>
    <t>performa loading aplikasi meningkat dan asset terbundle secara efisien</t>
  </si>
  <si>
    <t>23/10/2026</t>
  </si>
  <si>
    <t>finalisasi pembaruan kode ke branch main repository dan pengecekan catatan changelog aplikasi</t>
  </si>
  <si>
    <t>branch main telah sinkron dengan seluruh pembaruan sistem terkini</t>
  </si>
  <si>
    <t>penyusunan laporan akhir rekapan tabel pengerjaan proyek periode 26 September - 25 Oktober 2026</t>
  </si>
  <si>
    <t>file tabel_pengerjaan_26_september_25_oktober.xlsx berhasil digenerate lengkap dan rapi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</si>
</sst>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>
    <font>
      <sz val="11"/>
      <color theme="1"/>
      <name val="Calibri"/>
      <family val="2"/>
      <scheme val="minor"/>
    </font>
    <font>
      <sz val="11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1">
    <dxf>
      <numFmt numFmtId="164" formatCode="[h]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0" totalsRowCount="1">
  <autoFilter ref="A1:H49" xr:uid="{00000000-0009-0000-0100-000001000000}"/>
  <tableColumns count="8">
    <tableColumn id="1" xr3:uid="{00000000-0010-0000-0000-000001000000}" name="Tanggal"/>
    <tableColumn id="2" xr3:uid="{00000000-0010-0000-0000-000002000000}" name="Waktu Mulai"/>
    <tableColumn id="3" xr3:uid="{00000000-0010-0000-0000-000003000000}" name="Waktu Selesai"/>
    <tableColumn id="4" xr3:uid="{00000000-0010-0000-0000-000004000000}" name="Durasi (Jam)" totalsRowDxfId="0"/>
    <tableColumn id="5" xr3:uid="{00000000-0010-0000-0000-000005000000}" name="Pekerjaan"/>
    <tableColumn id="6" xr3:uid="{00000000-0010-0000-0000-000006000000}" name="Detail Pekerjaan"/>
    <tableColumn id="7" xr3:uid="{00000000-0010-0000-0000-000007000000}" name="Hasil"/>
    <tableColumn id="8" xr3:uid="{00000000-0010-0000-0000-000008000000}" name="Screensho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F1" workbookViewId="0">
      <selection activeCell="C9" sqref="C9"/>
    </sheetView>
  </sheetViews>
  <sheetFormatPr defaultRowHeight="15"/>
  <cols>
    <col min="1" max="1" width="12" customWidth="1"/>
    <col min="2" max="2" width="15.42578125" customWidth="1"/>
    <col min="3" max="3" width="16.42578125" customWidth="1"/>
    <col min="4" max="4" width="15.42578125" customWidth="1"/>
    <col min="5" max="5" width="32" customWidth="1"/>
    <col min="6" max="6" width="96" customWidth="1"/>
    <col min="7" max="7" width="91.42578125" bestFit="1" customWidth="1"/>
    <col min="8" max="8" width="13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0.39583333333333331</v>
      </c>
      <c r="C2" s="3">
        <v>0.47916666666666669</v>
      </c>
      <c r="D2" s="3">
        <f>MOD(Table1[[#This Row],[Waktu Selesai]]-Table1[[#This Row],[Waktu Mulai]],1)</f>
        <v>8.333333333333337E-2</v>
      </c>
      <c r="E2" s="2" t="s">
        <v>9</v>
      </c>
      <c r="F2" s="2" t="s">
        <v>10</v>
      </c>
      <c r="G2" s="2" t="s">
        <v>11</v>
      </c>
      <c r="H2" s="2"/>
    </row>
    <row r="3" spans="1:8">
      <c r="A3" s="2" t="s">
        <v>8</v>
      </c>
      <c r="B3" s="3">
        <v>0.64583333333333337</v>
      </c>
      <c r="C3" s="3">
        <v>0.6875</v>
      </c>
      <c r="D3" s="3">
        <f>MOD(Table1[[#This Row],[Waktu Selesai]]-Table1[[#This Row],[Waktu Mulai]],1)</f>
        <v>4.166666666666663E-2</v>
      </c>
      <c r="E3" s="2" t="s">
        <v>9</v>
      </c>
      <c r="F3" s="2" t="s">
        <v>12</v>
      </c>
      <c r="G3" s="2" t="s">
        <v>13</v>
      </c>
      <c r="H3" s="2"/>
    </row>
    <row r="4" spans="1:8">
      <c r="A4" s="2" t="s">
        <v>8</v>
      </c>
      <c r="B4" s="3">
        <v>0.85416666666666663</v>
      </c>
      <c r="C4" s="3">
        <v>0.89583333333333337</v>
      </c>
      <c r="D4" s="3">
        <f>MOD(Table1[[#This Row],[Waktu Selesai]]-Table1[[#This Row],[Waktu Mulai]],1)</f>
        <v>4.1666666666666741E-2</v>
      </c>
      <c r="E4" s="2" t="s">
        <v>9</v>
      </c>
      <c r="F4" s="2" t="s">
        <v>14</v>
      </c>
      <c r="G4" s="2" t="s">
        <v>15</v>
      </c>
      <c r="H4" s="2"/>
    </row>
    <row r="5" spans="1:8">
      <c r="A5" s="2" t="s">
        <v>16</v>
      </c>
      <c r="B5" s="3">
        <v>0.41666666666666669</v>
      </c>
      <c r="C5" s="3">
        <v>0.5</v>
      </c>
      <c r="D5" s="3">
        <f>MOD(Table1[[#This Row],[Waktu Selesai]]-Table1[[#This Row],[Waktu Mulai]],1)</f>
        <v>8.3333333333333315E-2</v>
      </c>
      <c r="E5" s="2" t="s">
        <v>9</v>
      </c>
      <c r="F5" s="2" t="s">
        <v>17</v>
      </c>
      <c r="G5" s="2" t="s">
        <v>18</v>
      </c>
      <c r="H5" s="2"/>
    </row>
    <row r="6" spans="1:8">
      <c r="A6" s="2" t="s">
        <v>16</v>
      </c>
      <c r="B6" s="3">
        <v>0.66666666666666663</v>
      </c>
      <c r="C6" s="3">
        <v>0.75</v>
      </c>
      <c r="D6" s="3">
        <f>MOD(Table1[[#This Row],[Waktu Selesai]]-Table1[[#This Row],[Waktu Mulai]],1)</f>
        <v>8.333333333333337E-2</v>
      </c>
      <c r="E6" s="2" t="s">
        <v>9</v>
      </c>
      <c r="F6" s="2" t="s">
        <v>19</v>
      </c>
      <c r="G6" s="2" t="s">
        <v>20</v>
      </c>
      <c r="H6" s="2"/>
    </row>
    <row r="7" spans="1:8">
      <c r="A7" s="2" t="s">
        <v>21</v>
      </c>
      <c r="B7" s="3">
        <v>0.4375</v>
      </c>
      <c r="C7" s="3">
        <v>0.5</v>
      </c>
      <c r="D7" s="3">
        <f>MOD(Table1[[#This Row],[Waktu Selesai]]-Table1[[#This Row],[Waktu Mulai]],1)</f>
        <v>6.25E-2</v>
      </c>
      <c r="E7" s="2" t="s">
        <v>9</v>
      </c>
      <c r="F7" s="2" t="s">
        <v>22</v>
      </c>
      <c r="G7" s="2" t="s">
        <v>23</v>
      </c>
      <c r="H7" s="2"/>
    </row>
    <row r="8" spans="1:8">
      <c r="A8" s="2" t="s">
        <v>21</v>
      </c>
      <c r="B8" s="3">
        <v>0.6875</v>
      </c>
      <c r="C8" s="3">
        <v>0.75</v>
      </c>
      <c r="D8" s="3">
        <f>MOD(Table1[[#This Row],[Waktu Selesai]]-Table1[[#This Row],[Waktu Mulai]],1)</f>
        <v>6.25E-2</v>
      </c>
      <c r="E8" s="2" t="s">
        <v>9</v>
      </c>
      <c r="F8" s="2" t="s">
        <v>24</v>
      </c>
      <c r="G8" s="2" t="s">
        <v>25</v>
      </c>
      <c r="H8" s="2"/>
    </row>
    <row r="9" spans="1:8">
      <c r="A9" s="2" t="s">
        <v>21</v>
      </c>
      <c r="B9" s="3">
        <v>0.875</v>
      </c>
      <c r="C9" s="3">
        <v>0.91666666666666663</v>
      </c>
      <c r="D9" s="3">
        <f>MOD(Table1[[#This Row],[Waktu Selesai]]-Table1[[#This Row],[Waktu Mulai]],1)</f>
        <v>4.166666666666663E-2</v>
      </c>
      <c r="E9" s="2" t="s">
        <v>9</v>
      </c>
      <c r="F9" s="2" t="s">
        <v>26</v>
      </c>
      <c r="G9" s="2" t="s">
        <v>27</v>
      </c>
      <c r="H9" s="2"/>
    </row>
    <row r="10" spans="1:8">
      <c r="A10" s="2" t="s">
        <v>28</v>
      </c>
      <c r="B10" s="3">
        <v>0.375</v>
      </c>
      <c r="C10" s="3">
        <v>0.4375</v>
      </c>
      <c r="D10" s="3">
        <f>MOD(Table1[[#This Row],[Waktu Selesai]]-Table1[[#This Row],[Waktu Mulai]],1)</f>
        <v>6.25E-2</v>
      </c>
      <c r="E10" s="2" t="s">
        <v>9</v>
      </c>
      <c r="F10" s="2" t="s">
        <v>29</v>
      </c>
      <c r="G10" s="2" t="s">
        <v>30</v>
      </c>
      <c r="H10" s="2"/>
    </row>
    <row r="11" spans="1:8">
      <c r="A11" s="2" t="s">
        <v>28</v>
      </c>
      <c r="B11" s="3">
        <v>0.58333333333333337</v>
      </c>
      <c r="C11" s="3">
        <v>0.64583333333333337</v>
      </c>
      <c r="D11" s="3">
        <f>MOD(Table1[[#This Row],[Waktu Selesai]]-Table1[[#This Row],[Waktu Mulai]],1)</f>
        <v>6.25E-2</v>
      </c>
      <c r="E11" s="2" t="s">
        <v>9</v>
      </c>
      <c r="F11" s="2" t="s">
        <v>31</v>
      </c>
      <c r="G11" s="2" t="s">
        <v>32</v>
      </c>
      <c r="H11" s="2"/>
    </row>
    <row r="12" spans="1:8">
      <c r="A12" s="2" t="s">
        <v>28</v>
      </c>
      <c r="B12" s="3">
        <v>0.83333333333333337</v>
      </c>
      <c r="C12" s="3">
        <v>0.875</v>
      </c>
      <c r="D12" s="3">
        <f>MOD(Table1[[#This Row],[Waktu Selesai]]-Table1[[#This Row],[Waktu Mulai]],1)</f>
        <v>4.166666666666663E-2</v>
      </c>
      <c r="E12" s="2" t="s">
        <v>9</v>
      </c>
      <c r="F12" s="2" t="s">
        <v>33</v>
      </c>
      <c r="G12" s="2" t="s">
        <v>34</v>
      </c>
      <c r="H12" s="2"/>
    </row>
    <row r="13" spans="1:8">
      <c r="A13" s="2" t="s">
        <v>35</v>
      </c>
      <c r="B13" s="3">
        <v>0.39583333333333331</v>
      </c>
      <c r="C13" s="3">
        <v>0.47916666666666669</v>
      </c>
      <c r="D13" s="3">
        <f>MOD(Table1[[#This Row],[Waktu Selesai]]-Table1[[#This Row],[Waktu Mulai]],1)</f>
        <v>8.333333333333337E-2</v>
      </c>
      <c r="E13" s="2" t="s">
        <v>9</v>
      </c>
      <c r="F13" s="2" t="s">
        <v>36</v>
      </c>
      <c r="G13" s="2" t="s">
        <v>37</v>
      </c>
      <c r="H13" s="2"/>
    </row>
    <row r="14" spans="1:8">
      <c r="A14" s="2" t="s">
        <v>35</v>
      </c>
      <c r="B14" s="3">
        <v>0.625</v>
      </c>
      <c r="C14" s="3">
        <v>0.70833333333333337</v>
      </c>
      <c r="D14" s="3">
        <f>MOD(Table1[[#This Row],[Waktu Selesai]]-Table1[[#This Row],[Waktu Mulai]],1)</f>
        <v>8.333333333333337E-2</v>
      </c>
      <c r="E14" s="2" t="s">
        <v>9</v>
      </c>
      <c r="F14" s="2" t="s">
        <v>38</v>
      </c>
      <c r="G14" s="2" t="s">
        <v>39</v>
      </c>
      <c r="H14" s="2"/>
    </row>
    <row r="15" spans="1:8">
      <c r="A15" s="2" t="s">
        <v>40</v>
      </c>
      <c r="B15" s="3">
        <v>0.41666666666666669</v>
      </c>
      <c r="C15" s="3">
        <v>0.47916666666666669</v>
      </c>
      <c r="D15" s="3">
        <f>MOD(Table1[[#This Row],[Waktu Selesai]]-Table1[[#This Row],[Waktu Mulai]],1)</f>
        <v>6.25E-2</v>
      </c>
      <c r="E15" s="2" t="s">
        <v>9</v>
      </c>
      <c r="F15" s="2" t="s">
        <v>41</v>
      </c>
      <c r="G15" s="2" t="s">
        <v>42</v>
      </c>
      <c r="H15" s="2"/>
    </row>
    <row r="16" spans="1:8">
      <c r="A16" s="2" t="s">
        <v>40</v>
      </c>
      <c r="B16" s="3">
        <v>0.64583333333333337</v>
      </c>
      <c r="C16" s="3">
        <v>0.70833333333333337</v>
      </c>
      <c r="D16" s="3">
        <f>MOD(Table1[[#This Row],[Waktu Selesai]]-Table1[[#This Row],[Waktu Mulai]],1)</f>
        <v>6.25E-2</v>
      </c>
      <c r="E16" s="2" t="s">
        <v>9</v>
      </c>
      <c r="F16" s="2" t="s">
        <v>43</v>
      </c>
      <c r="G16" s="2" t="s">
        <v>44</v>
      </c>
      <c r="H16" s="2"/>
    </row>
    <row r="17" spans="1:8">
      <c r="A17" s="2" t="s">
        <v>40</v>
      </c>
      <c r="B17" s="3">
        <v>0.875</v>
      </c>
      <c r="C17" s="3">
        <v>0.91666666666666663</v>
      </c>
      <c r="D17" s="3">
        <f>MOD(Table1[[#This Row],[Waktu Selesai]]-Table1[[#This Row],[Waktu Mulai]],1)</f>
        <v>4.166666666666663E-2</v>
      </c>
      <c r="E17" s="2" t="s">
        <v>9</v>
      </c>
      <c r="F17" s="2" t="s">
        <v>45</v>
      </c>
      <c r="G17" s="2" t="s">
        <v>46</v>
      </c>
      <c r="H17" s="2"/>
    </row>
    <row r="18" spans="1:8">
      <c r="A18" s="2" t="s">
        <v>47</v>
      </c>
      <c r="B18" s="3">
        <v>0.375</v>
      </c>
      <c r="C18" s="3">
        <v>0.45833333333333331</v>
      </c>
      <c r="D18" s="3">
        <f>MOD(Table1[[#This Row],[Waktu Selesai]]-Table1[[#This Row],[Waktu Mulai]],1)</f>
        <v>8.3333333333333315E-2</v>
      </c>
      <c r="E18" s="2" t="s">
        <v>9</v>
      </c>
      <c r="F18" s="2" t="s">
        <v>48</v>
      </c>
      <c r="G18" s="2" t="s">
        <v>49</v>
      </c>
      <c r="H18" s="2"/>
    </row>
    <row r="19" spans="1:8">
      <c r="A19" s="2" t="s">
        <v>47</v>
      </c>
      <c r="B19" s="3">
        <v>0.6875</v>
      </c>
      <c r="C19" s="3">
        <v>0.77083333333333337</v>
      </c>
      <c r="D19" s="3">
        <f>MOD(Table1[[#This Row],[Waktu Selesai]]-Table1[[#This Row],[Waktu Mulai]],1)</f>
        <v>8.333333333333337E-2</v>
      </c>
      <c r="E19" s="2" t="s">
        <v>9</v>
      </c>
      <c r="F19" s="2" t="s">
        <v>50</v>
      </c>
      <c r="G19" s="2" t="s">
        <v>51</v>
      </c>
      <c r="H19" s="2"/>
    </row>
    <row r="20" spans="1:8">
      <c r="A20" s="2" t="s">
        <v>52</v>
      </c>
      <c r="B20" s="3">
        <v>0.4375</v>
      </c>
      <c r="C20" s="3">
        <v>0.5</v>
      </c>
      <c r="D20" s="3">
        <f>MOD(Table1[[#This Row],[Waktu Selesai]]-Table1[[#This Row],[Waktu Mulai]],1)</f>
        <v>6.25E-2</v>
      </c>
      <c r="E20" s="2" t="s">
        <v>9</v>
      </c>
      <c r="F20" s="2" t="s">
        <v>53</v>
      </c>
      <c r="G20" s="2" t="s">
        <v>54</v>
      </c>
      <c r="H20" s="2"/>
    </row>
    <row r="21" spans="1:8">
      <c r="A21" s="2" t="s">
        <v>52</v>
      </c>
      <c r="B21" s="3">
        <v>0.625</v>
      </c>
      <c r="C21" s="3">
        <v>0.6875</v>
      </c>
      <c r="D21" s="3">
        <f>MOD(Table1[[#This Row],[Waktu Selesai]]-Table1[[#This Row],[Waktu Mulai]],1)</f>
        <v>6.25E-2</v>
      </c>
      <c r="E21" s="2" t="s">
        <v>9</v>
      </c>
      <c r="F21" s="2" t="s">
        <v>55</v>
      </c>
      <c r="G21" s="2" t="s">
        <v>56</v>
      </c>
      <c r="H21" s="2"/>
    </row>
    <row r="22" spans="1:8">
      <c r="A22" s="2" t="s">
        <v>52</v>
      </c>
      <c r="B22" s="3">
        <v>0.85416666666666663</v>
      </c>
      <c r="C22" s="3">
        <v>0.89583333333333337</v>
      </c>
      <c r="D22" s="3">
        <f>MOD(Table1[[#This Row],[Waktu Selesai]]-Table1[[#This Row],[Waktu Mulai]],1)</f>
        <v>4.1666666666666741E-2</v>
      </c>
      <c r="E22" s="2" t="s">
        <v>9</v>
      </c>
      <c r="F22" s="2" t="s">
        <v>57</v>
      </c>
      <c r="G22" s="2" t="s">
        <v>58</v>
      </c>
      <c r="H22" s="2"/>
    </row>
    <row r="23" spans="1:8">
      <c r="A23" s="2" t="s">
        <v>59</v>
      </c>
      <c r="B23" s="3">
        <v>0.39583333333333331</v>
      </c>
      <c r="C23" s="3">
        <v>0.47916666666666669</v>
      </c>
      <c r="D23" s="3">
        <f>MOD(Table1[[#This Row],[Waktu Selesai]]-Table1[[#This Row],[Waktu Mulai]],1)</f>
        <v>8.333333333333337E-2</v>
      </c>
      <c r="E23" s="2" t="s">
        <v>9</v>
      </c>
      <c r="F23" s="2" t="s">
        <v>60</v>
      </c>
      <c r="G23" s="2" t="s">
        <v>61</v>
      </c>
      <c r="H23" s="2"/>
    </row>
    <row r="24" spans="1:8">
      <c r="A24" s="2" t="s">
        <v>59</v>
      </c>
      <c r="B24" s="3">
        <v>0.66666666666666663</v>
      </c>
      <c r="C24" s="3">
        <v>0.75</v>
      </c>
      <c r="D24" s="3">
        <f>MOD(Table1[[#This Row],[Waktu Selesai]]-Table1[[#This Row],[Waktu Mulai]],1)</f>
        <v>8.333333333333337E-2</v>
      </c>
      <c r="E24" s="2" t="s">
        <v>9</v>
      </c>
      <c r="F24" s="2" t="s">
        <v>62</v>
      </c>
      <c r="G24" s="2" t="s">
        <v>63</v>
      </c>
      <c r="H24" s="2"/>
    </row>
    <row r="25" spans="1:8">
      <c r="A25" s="2" t="s">
        <v>64</v>
      </c>
      <c r="B25" s="3">
        <v>0.41666666666666669</v>
      </c>
      <c r="C25" s="3">
        <v>0.5</v>
      </c>
      <c r="D25" s="3">
        <f>MOD(Table1[[#This Row],[Waktu Selesai]]-Table1[[#This Row],[Waktu Mulai]],1)</f>
        <v>8.3333333333333315E-2</v>
      </c>
      <c r="E25" s="2" t="s">
        <v>9</v>
      </c>
      <c r="F25" s="2" t="s">
        <v>65</v>
      </c>
      <c r="G25" s="2" t="s">
        <v>66</v>
      </c>
      <c r="H25" s="2"/>
    </row>
    <row r="26" spans="1:8">
      <c r="A26" s="2" t="s">
        <v>64</v>
      </c>
      <c r="B26" s="3">
        <v>0.64583333333333337</v>
      </c>
      <c r="C26" s="3">
        <v>0.72916666666666663</v>
      </c>
      <c r="D26" s="3">
        <f>MOD(Table1[[#This Row],[Waktu Selesai]]-Table1[[#This Row],[Waktu Mulai]],1)</f>
        <v>8.3333333333333259E-2</v>
      </c>
      <c r="E26" s="2" t="s">
        <v>9</v>
      </c>
      <c r="F26" s="2" t="s">
        <v>67</v>
      </c>
      <c r="G26" s="2" t="s">
        <v>68</v>
      </c>
      <c r="H26" s="2"/>
    </row>
    <row r="27" spans="1:8">
      <c r="A27" s="2" t="s">
        <v>69</v>
      </c>
      <c r="B27" s="3">
        <v>0.4375</v>
      </c>
      <c r="C27" s="3">
        <v>0.5</v>
      </c>
      <c r="D27" s="3">
        <f>MOD(Table1[[#This Row],[Waktu Selesai]]-Table1[[#This Row],[Waktu Mulai]],1)</f>
        <v>6.25E-2</v>
      </c>
      <c r="E27" s="2" t="s">
        <v>9</v>
      </c>
      <c r="F27" s="2" t="s">
        <v>70</v>
      </c>
      <c r="G27" s="2" t="s">
        <v>71</v>
      </c>
      <c r="H27" s="2"/>
    </row>
    <row r="28" spans="1:8">
      <c r="A28" s="2" t="s">
        <v>69</v>
      </c>
      <c r="B28" s="3">
        <v>0.66666666666666663</v>
      </c>
      <c r="C28" s="3">
        <v>0.72916666666666663</v>
      </c>
      <c r="D28" s="3">
        <f>MOD(Table1[[#This Row],[Waktu Selesai]]-Table1[[#This Row],[Waktu Mulai]],1)</f>
        <v>6.25E-2</v>
      </c>
      <c r="E28" s="2" t="s">
        <v>9</v>
      </c>
      <c r="F28" s="2" t="s">
        <v>72</v>
      </c>
      <c r="G28" s="2" t="s">
        <v>73</v>
      </c>
      <c r="H28" s="2"/>
    </row>
    <row r="29" spans="1:8">
      <c r="A29" s="2" t="s">
        <v>69</v>
      </c>
      <c r="B29" s="3">
        <v>0.85416666666666663</v>
      </c>
      <c r="C29" s="3">
        <v>0.89583333333333337</v>
      </c>
      <c r="D29" s="3">
        <f>MOD(Table1[[#This Row],[Waktu Selesai]]-Table1[[#This Row],[Waktu Mulai]],1)</f>
        <v>4.1666666666666741E-2</v>
      </c>
      <c r="E29" s="2" t="s">
        <v>9</v>
      </c>
      <c r="F29" s="2" t="s">
        <v>74</v>
      </c>
      <c r="G29" s="2" t="s">
        <v>75</v>
      </c>
      <c r="H29" s="2"/>
    </row>
    <row r="30" spans="1:8">
      <c r="A30" s="2" t="s">
        <v>76</v>
      </c>
      <c r="B30" s="3">
        <v>0.375</v>
      </c>
      <c r="C30" s="3">
        <v>0.45833333333333331</v>
      </c>
      <c r="D30" s="3">
        <f>MOD(Table1[[#This Row],[Waktu Selesai]]-Table1[[#This Row],[Waktu Mulai]],1)</f>
        <v>8.3333333333333315E-2</v>
      </c>
      <c r="E30" s="2" t="s">
        <v>9</v>
      </c>
      <c r="F30" s="2" t="s">
        <v>77</v>
      </c>
      <c r="G30" s="2" t="s">
        <v>78</v>
      </c>
      <c r="H30" s="2"/>
    </row>
    <row r="31" spans="1:8">
      <c r="A31" s="2" t="s">
        <v>76</v>
      </c>
      <c r="B31" s="3">
        <v>0.64583333333333337</v>
      </c>
      <c r="C31" s="3">
        <v>0.72916666666666663</v>
      </c>
      <c r="D31" s="3">
        <f>MOD(Table1[[#This Row],[Waktu Selesai]]-Table1[[#This Row],[Waktu Mulai]],1)</f>
        <v>8.3333333333333259E-2</v>
      </c>
      <c r="E31" s="2" t="s">
        <v>9</v>
      </c>
      <c r="F31" s="2" t="s">
        <v>79</v>
      </c>
      <c r="G31" s="2" t="s">
        <v>80</v>
      </c>
      <c r="H31" s="2"/>
    </row>
    <row r="32" spans="1:8">
      <c r="A32" s="2" t="s">
        <v>81</v>
      </c>
      <c r="B32" s="3">
        <v>0.41666666666666669</v>
      </c>
      <c r="C32" s="3">
        <v>0.47916666666666669</v>
      </c>
      <c r="D32" s="3">
        <f>MOD(Table1[[#This Row],[Waktu Selesai]]-Table1[[#This Row],[Waktu Mulai]],1)</f>
        <v>6.25E-2</v>
      </c>
      <c r="E32" s="2" t="s">
        <v>9</v>
      </c>
      <c r="F32" s="2" t="s">
        <v>82</v>
      </c>
      <c r="G32" s="2" t="s">
        <v>83</v>
      </c>
      <c r="H32" s="2"/>
    </row>
    <row r="33" spans="1:8">
      <c r="A33" s="2" t="s">
        <v>81</v>
      </c>
      <c r="B33" s="3">
        <v>0.6875</v>
      </c>
      <c r="C33" s="3">
        <v>0.75</v>
      </c>
      <c r="D33" s="3">
        <f>MOD(Table1[[#This Row],[Waktu Selesai]]-Table1[[#This Row],[Waktu Mulai]],1)</f>
        <v>6.25E-2</v>
      </c>
      <c r="E33" s="2" t="s">
        <v>9</v>
      </c>
      <c r="F33" s="2" t="s">
        <v>84</v>
      </c>
      <c r="G33" s="2" t="s">
        <v>85</v>
      </c>
      <c r="H33" s="2"/>
    </row>
    <row r="34" spans="1:8">
      <c r="A34" s="2" t="s">
        <v>81</v>
      </c>
      <c r="B34" s="3">
        <v>0.875</v>
      </c>
      <c r="C34" s="3">
        <v>0.91666666666666663</v>
      </c>
      <c r="D34" s="3">
        <f>MOD(Table1[[#This Row],[Waktu Selesai]]-Table1[[#This Row],[Waktu Mulai]],1)</f>
        <v>4.166666666666663E-2</v>
      </c>
      <c r="E34" s="2" t="s">
        <v>9</v>
      </c>
      <c r="F34" s="2" t="s">
        <v>86</v>
      </c>
      <c r="G34" s="2" t="s">
        <v>87</v>
      </c>
      <c r="H34" s="2"/>
    </row>
    <row r="35" spans="1:8">
      <c r="A35" s="2" t="s">
        <v>88</v>
      </c>
      <c r="B35" s="3">
        <v>0.39583333333333331</v>
      </c>
      <c r="C35" s="3">
        <v>0.47916666666666669</v>
      </c>
      <c r="D35" s="3">
        <f>MOD(Table1[[#This Row],[Waktu Selesai]]-Table1[[#This Row],[Waktu Mulai]],1)</f>
        <v>8.333333333333337E-2</v>
      </c>
      <c r="E35" s="2" t="s">
        <v>9</v>
      </c>
      <c r="F35" s="2" t="s">
        <v>89</v>
      </c>
      <c r="G35" s="2" t="s">
        <v>90</v>
      </c>
      <c r="H35" s="2"/>
    </row>
    <row r="36" spans="1:8">
      <c r="A36" s="2" t="s">
        <v>88</v>
      </c>
      <c r="B36" s="3">
        <v>0.66666666666666663</v>
      </c>
      <c r="C36" s="3">
        <v>0.75</v>
      </c>
      <c r="D36" s="3">
        <f>MOD(Table1[[#This Row],[Waktu Selesai]]-Table1[[#This Row],[Waktu Mulai]],1)</f>
        <v>8.333333333333337E-2</v>
      </c>
      <c r="E36" s="2" t="s">
        <v>9</v>
      </c>
      <c r="F36" s="2" t="s">
        <v>91</v>
      </c>
      <c r="G36" s="2" t="s">
        <v>92</v>
      </c>
      <c r="H36" s="2"/>
    </row>
    <row r="37" spans="1:8">
      <c r="A37" s="2" t="s">
        <v>93</v>
      </c>
      <c r="B37" s="3">
        <v>0.41666666666666669</v>
      </c>
      <c r="C37" s="3">
        <v>0.5</v>
      </c>
      <c r="D37" s="3">
        <f>MOD(Table1[[#This Row],[Waktu Selesai]]-Table1[[#This Row],[Waktu Mulai]],1)</f>
        <v>8.3333333333333315E-2</v>
      </c>
      <c r="E37" s="2" t="s">
        <v>9</v>
      </c>
      <c r="F37" s="2" t="s">
        <v>94</v>
      </c>
      <c r="G37" s="2" t="s">
        <v>95</v>
      </c>
      <c r="H37" s="2"/>
    </row>
    <row r="38" spans="1:8">
      <c r="A38" s="2" t="s">
        <v>93</v>
      </c>
      <c r="B38" s="3">
        <v>0.625</v>
      </c>
      <c r="C38" s="3">
        <v>0.70833333333333337</v>
      </c>
      <c r="D38" s="3">
        <f>MOD(Table1[[#This Row],[Waktu Selesai]]-Table1[[#This Row],[Waktu Mulai]],1)</f>
        <v>8.333333333333337E-2</v>
      </c>
      <c r="E38" s="2" t="s">
        <v>9</v>
      </c>
      <c r="F38" s="2" t="s">
        <v>96</v>
      </c>
      <c r="G38" s="2" t="s">
        <v>97</v>
      </c>
      <c r="H38" s="2"/>
    </row>
    <row r="39" spans="1:8">
      <c r="A39" s="2" t="s">
        <v>98</v>
      </c>
      <c r="B39" s="3">
        <v>0.39583333333333331</v>
      </c>
      <c r="C39" s="3">
        <v>0.45833333333333331</v>
      </c>
      <c r="D39" s="3">
        <f>MOD(Table1[[#This Row],[Waktu Selesai]]-Table1[[#This Row],[Waktu Mulai]],1)</f>
        <v>6.25E-2</v>
      </c>
      <c r="E39" s="2" t="s">
        <v>9</v>
      </c>
      <c r="F39" s="2" t="s">
        <v>99</v>
      </c>
      <c r="G39" s="2" t="s">
        <v>100</v>
      </c>
      <c r="H39" s="2"/>
    </row>
    <row r="40" spans="1:8">
      <c r="A40" s="2" t="s">
        <v>98</v>
      </c>
      <c r="B40" s="3">
        <v>0.64583333333333337</v>
      </c>
      <c r="C40" s="3">
        <v>0.70833333333333337</v>
      </c>
      <c r="D40" s="3">
        <f>MOD(Table1[[#This Row],[Waktu Selesai]]-Table1[[#This Row],[Waktu Mulai]],1)</f>
        <v>6.25E-2</v>
      </c>
      <c r="E40" s="2" t="s">
        <v>9</v>
      </c>
      <c r="F40" s="2" t="s">
        <v>101</v>
      </c>
      <c r="G40" s="2" t="s">
        <v>102</v>
      </c>
      <c r="H40" s="2"/>
    </row>
    <row r="41" spans="1:8">
      <c r="A41" s="2" t="s">
        <v>98</v>
      </c>
      <c r="B41" s="3">
        <v>0.85416666666666663</v>
      </c>
      <c r="C41" s="3">
        <v>0.89583333333333337</v>
      </c>
      <c r="D41" s="3">
        <f>MOD(Table1[[#This Row],[Waktu Selesai]]-Table1[[#This Row],[Waktu Mulai]],1)</f>
        <v>4.1666666666666741E-2</v>
      </c>
      <c r="E41" s="2" t="s">
        <v>9</v>
      </c>
      <c r="F41" s="2" t="s">
        <v>103</v>
      </c>
      <c r="G41" s="2" t="s">
        <v>104</v>
      </c>
      <c r="H41" s="2"/>
    </row>
    <row r="42" spans="1:8">
      <c r="A42" s="2" t="s">
        <v>105</v>
      </c>
      <c r="B42" s="3">
        <v>0.41666666666666669</v>
      </c>
      <c r="C42" s="3">
        <v>0.5</v>
      </c>
      <c r="D42" s="3">
        <f>MOD(Table1[[#This Row],[Waktu Selesai]]-Table1[[#This Row],[Waktu Mulai]],1)</f>
        <v>8.3333333333333315E-2</v>
      </c>
      <c r="E42" s="2" t="s">
        <v>9</v>
      </c>
      <c r="F42" s="2" t="s">
        <v>106</v>
      </c>
      <c r="G42" s="2" t="s">
        <v>107</v>
      </c>
      <c r="H42" s="2"/>
    </row>
    <row r="43" spans="1:8">
      <c r="A43" s="2" t="s">
        <v>105</v>
      </c>
      <c r="B43" s="3">
        <v>0.66666666666666663</v>
      </c>
      <c r="C43" s="3">
        <v>0.75</v>
      </c>
      <c r="D43" s="3">
        <f>MOD(Table1[[#This Row],[Waktu Selesai]]-Table1[[#This Row],[Waktu Mulai]],1)</f>
        <v>8.333333333333337E-2</v>
      </c>
      <c r="E43" s="2" t="s">
        <v>9</v>
      </c>
      <c r="F43" s="2" t="s">
        <v>108</v>
      </c>
      <c r="G43" s="2" t="s">
        <v>109</v>
      </c>
      <c r="H43" s="2"/>
    </row>
    <row r="44" spans="1:8">
      <c r="A44" s="2" t="s">
        <v>110</v>
      </c>
      <c r="B44" s="3">
        <v>0.4375</v>
      </c>
      <c r="C44" s="3">
        <v>0.52083333333333337</v>
      </c>
      <c r="D44" s="3">
        <f>MOD(Table1[[#This Row],[Waktu Selesai]]-Table1[[#This Row],[Waktu Mulai]],1)</f>
        <v>8.333333333333337E-2</v>
      </c>
      <c r="E44" s="2" t="s">
        <v>9</v>
      </c>
      <c r="F44" s="2" t="s">
        <v>111</v>
      </c>
      <c r="G44" s="2" t="s">
        <v>112</v>
      </c>
      <c r="H44" s="2"/>
    </row>
    <row r="45" spans="1:8">
      <c r="A45" s="2" t="s">
        <v>110</v>
      </c>
      <c r="B45" s="3">
        <v>0.6875</v>
      </c>
      <c r="C45" s="3">
        <v>0.77083333333333337</v>
      </c>
      <c r="D45" s="3">
        <f>MOD(Table1[[#This Row],[Waktu Selesai]]-Table1[[#This Row],[Waktu Mulai]],1)</f>
        <v>8.333333333333337E-2</v>
      </c>
      <c r="E45" s="2" t="s">
        <v>9</v>
      </c>
      <c r="F45" s="2" t="s">
        <v>113</v>
      </c>
      <c r="G45" s="2" t="s">
        <v>114</v>
      </c>
      <c r="H45" s="2"/>
    </row>
    <row r="46" spans="1:8">
      <c r="A46" s="2" t="s">
        <v>115</v>
      </c>
      <c r="B46" s="3">
        <v>0.39583333333333331</v>
      </c>
      <c r="C46" s="3">
        <v>0.47916666666666669</v>
      </c>
      <c r="D46" s="3">
        <f>MOD(Table1[[#This Row],[Waktu Selesai]]-Table1[[#This Row],[Waktu Mulai]],1)</f>
        <v>8.333333333333337E-2</v>
      </c>
      <c r="E46" s="2" t="s">
        <v>9</v>
      </c>
      <c r="F46" s="2" t="s">
        <v>116</v>
      </c>
      <c r="G46" s="2" t="s">
        <v>117</v>
      </c>
      <c r="H46" s="2"/>
    </row>
    <row r="47" spans="1:8">
      <c r="A47" s="2" t="s">
        <v>115</v>
      </c>
      <c r="B47" s="3">
        <v>0.64583333333333337</v>
      </c>
      <c r="C47" s="3">
        <v>0.72916666666666663</v>
      </c>
      <c r="D47" s="3">
        <f>MOD(Table1[[#This Row],[Waktu Selesai]]-Table1[[#This Row],[Waktu Mulai]],1)</f>
        <v>8.3333333333333259E-2</v>
      </c>
      <c r="E47" s="2" t="s">
        <v>9</v>
      </c>
      <c r="F47" s="2" t="s">
        <v>118</v>
      </c>
      <c r="G47" s="2" t="s">
        <v>119</v>
      </c>
      <c r="H47" s="2"/>
    </row>
    <row r="48" spans="1:8">
      <c r="A48" s="2" t="s">
        <v>120</v>
      </c>
      <c r="B48" s="3">
        <v>0.41666666666666669</v>
      </c>
      <c r="C48" s="3">
        <v>0.5</v>
      </c>
      <c r="D48" s="3">
        <f>MOD(Table1[[#This Row],[Waktu Selesai]]-Table1[[#This Row],[Waktu Mulai]],1)</f>
        <v>8.3333333333333315E-2</v>
      </c>
      <c r="E48" s="2" t="s">
        <v>9</v>
      </c>
      <c r="F48" s="2" t="s">
        <v>121</v>
      </c>
      <c r="G48" s="2" t="s">
        <v>122</v>
      </c>
      <c r="H48" s="2"/>
    </row>
    <row r="49" spans="1:8">
      <c r="A49" s="2" t="s">
        <v>120</v>
      </c>
      <c r="B49" s="3">
        <v>0.66666666666666663</v>
      </c>
      <c r="C49" s="3">
        <v>0.75</v>
      </c>
      <c r="D49" s="3">
        <f>MOD(Table1[[#This Row],[Waktu Selesai]]-Table1[[#This Row],[Waktu Mulai]],1)</f>
        <v>8.333333333333337E-2</v>
      </c>
      <c r="E49" s="2" t="s">
        <v>9</v>
      </c>
      <c r="F49" s="2" t="s">
        <v>123</v>
      </c>
      <c r="G49" s="2" t="s">
        <v>124</v>
      </c>
      <c r="H49" s="2"/>
    </row>
    <row r="50" spans="1:8">
      <c r="D50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pengerjaan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zidane abbas</cp:lastModifiedBy>
  <dcterms:created xsi:type="dcterms:W3CDTF">2026-10-19T05:35:36Z</dcterms:created>
  <dcterms:modified xsi:type="dcterms:W3CDTF">2026-10-19T05:37:04Z</dcterms:modified>
</cp:coreProperties>
</file>